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jesus_pena_external_cnhind_com/Documents/Documents/Validation/NGMA/26.2.1.3/M1/KringleZIP 2026-06-30 17-21-07/"/>
    </mc:Choice>
  </mc:AlternateContent>
  <xr:revisionPtr revIDLastSave="1522" documentId="11_F25DC773A252ABDACC104883411D7FD85BDE58F3" xr6:coauthVersionLast="47" xr6:coauthVersionMax="47" xr10:uidLastSave="{F6100280-0E3D-42C5-9D81-89E315C63DE4}"/>
  <bookViews>
    <workbookView xWindow="-108" yWindow="-108" windowWidth="23256" windowHeight="12456" activeTab="1" xr2:uid="{00000000-000D-0000-FFFF-FFFF00000000}"/>
  </bookViews>
  <sheets>
    <sheet name="Sheet1" sheetId="2" r:id="rId1"/>
    <sheet name="CCH" sheetId="1" r:id="rId2"/>
    <sheet name="CCH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E15" i="3"/>
  <c r="G10" i="3"/>
  <c r="E10" i="3"/>
  <c r="B10" i="3"/>
  <c r="G9" i="3"/>
  <c r="E9" i="3"/>
  <c r="B9" i="3"/>
  <c r="G8" i="3"/>
  <c r="E8" i="3"/>
  <c r="B8" i="3"/>
  <c r="G7" i="3"/>
  <c r="E7" i="3"/>
  <c r="B7" i="3"/>
  <c r="G6" i="3"/>
  <c r="E6" i="3"/>
  <c r="B6" i="3"/>
  <c r="G10" i="1"/>
  <c r="G9" i="1"/>
  <c r="G8" i="1"/>
  <c r="G7" i="1"/>
  <c r="G6" i="1"/>
  <c r="E10" i="1"/>
  <c r="E9" i="1"/>
  <c r="E8" i="1"/>
  <c r="E7" i="1"/>
  <c r="E6" i="1"/>
  <c r="E17" i="1"/>
  <c r="E16" i="1"/>
  <c r="E15" i="1"/>
  <c r="F38" i="2"/>
  <c r="F34" i="2"/>
  <c r="F30" i="2"/>
  <c r="G38" i="2"/>
  <c r="G34" i="2"/>
  <c r="G30" i="2"/>
  <c r="G24" i="2"/>
  <c r="G20" i="2"/>
  <c r="G16" i="2"/>
  <c r="G12" i="2"/>
  <c r="G8" i="2"/>
  <c r="F24" i="2"/>
  <c r="F20" i="2"/>
  <c r="F16" i="2"/>
  <c r="F12" i="2"/>
  <c r="F8" i="2"/>
  <c r="D21" i="2"/>
  <c r="D17" i="2"/>
  <c r="D13" i="2"/>
  <c r="D9" i="2"/>
  <c r="D6" i="2"/>
  <c r="B7" i="1"/>
  <c r="B8" i="1"/>
  <c r="B9" i="1"/>
  <c r="B10" i="1"/>
  <c r="B6" i="1"/>
</calcChain>
</file>

<file path=xl/sharedStrings.xml><?xml version="1.0" encoding="utf-8"?>
<sst xmlns="http://schemas.openxmlformats.org/spreadsheetml/2006/main" count="126" uniqueCount="52">
  <si>
    <t>Straight</t>
  </si>
  <si>
    <t>Speed (kph)</t>
  </si>
  <si>
    <t>Curve</t>
  </si>
  <si>
    <t>Test</t>
  </si>
  <si>
    <t>5kph Parallel (4,6m)</t>
  </si>
  <si>
    <t>8kph Parallel (4,6m)</t>
  </si>
  <si>
    <t>13kph Parallel (4,6m)</t>
  </si>
  <si>
    <t>5kph Keyhole 10ft</t>
  </si>
  <si>
    <t>8kph Keyhole 10ft</t>
  </si>
  <si>
    <t>8kph Keyhole 25ft</t>
  </si>
  <si>
    <t>13kph Keyhole 10ft</t>
  </si>
  <si>
    <t>13kph Keyhole 25ft</t>
  </si>
  <si>
    <t>5kph U-turn 10ft</t>
  </si>
  <si>
    <t>5kph U-turn 30ft</t>
  </si>
  <si>
    <t>8kph U-turn 10ft</t>
  </si>
  <si>
    <t>8kph U-turn 30ft</t>
  </si>
  <si>
    <t>Speed (mph)</t>
  </si>
  <si>
    <t xml:space="preserve">Run </t>
  </si>
  <si>
    <r>
      <t xml:space="preserve">Perfomance metrics from Auto-guidance Engagement Report 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1"/>
        <color theme="1"/>
        <rFont val="Calibri"/>
        <family val="2"/>
        <scheme val="minor"/>
      </rPr>
      <t>EngagedAnalysis</t>
    </r>
  </si>
  <si>
    <r>
      <t xml:space="preserve">Perfomance metrics from Auto-guidance Online Engagement Report - </t>
    </r>
    <r>
      <rPr>
        <b/>
        <sz val="11"/>
        <color theme="1"/>
        <rFont val="Calibri"/>
        <family val="2"/>
        <scheme val="minor"/>
      </rPr>
      <t>OnlineAnalysis</t>
    </r>
  </si>
  <si>
    <t>MAXABSIMPXTE </t>
  </si>
  <si>
    <t>STDIMPXTE </t>
  </si>
  <si>
    <t>STDIMPXTE (cm)</t>
  </si>
  <si>
    <t>1deg/m - 5mph</t>
  </si>
  <si>
    <t>2 deg/m - 5 mph</t>
  </si>
  <si>
    <t xml:space="preserve">1 deg/m - 8 kph </t>
  </si>
  <si>
    <t xml:space="preserve">2 deg/m - 8 kph </t>
  </si>
  <si>
    <t xml:space="preserve">1 deg/m - 12.8 kph </t>
  </si>
  <si>
    <t>1 deg/m - 8 mph</t>
  </si>
  <si>
    <t>MAXABSIMPXTE (cm)</t>
  </si>
  <si>
    <t xml:space="preserve">5kph Keyhole 25ft </t>
  </si>
  <si>
    <r>
      <t xml:space="preserve">Acceptance Criteria - </t>
    </r>
    <r>
      <rPr>
        <b/>
        <sz val="11"/>
        <color theme="1"/>
        <rFont val="Calibri"/>
        <family val="2"/>
        <scheme val="minor"/>
      </rPr>
      <t>TRACTOR CCH</t>
    </r>
  </si>
  <si>
    <t>AVGABSIMPXTE (cm)</t>
  </si>
  <si>
    <r>
      <t xml:space="preserve">Perfomance metrics from Auto-guidance Engagement Report - </t>
    </r>
    <r>
      <rPr>
        <b/>
        <sz val="11"/>
        <color theme="1"/>
        <rFont val="Calibri"/>
        <family val="2"/>
        <scheme val="minor"/>
      </rPr>
      <t>EngagedAnalysis</t>
    </r>
  </si>
  <si>
    <r>
      <t xml:space="preserve">Perfomance metrics from Auto-guidance Engagement Report - </t>
    </r>
    <r>
      <rPr>
        <b/>
        <sz val="11"/>
        <color theme="1"/>
        <rFont val="Calibri"/>
        <family val="2"/>
        <scheme val="minor"/>
      </rPr>
      <t>VehicleSettledAnalysis</t>
    </r>
  </si>
  <si>
    <r>
      <t>Results - PIG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26.2.0.144</t>
    </r>
  </si>
  <si>
    <r>
      <t xml:space="preserve">Results - PIG - </t>
    </r>
    <r>
      <rPr>
        <b/>
        <sz val="11"/>
        <color rgb="FFFF0000"/>
        <rFont val="Calibri"/>
        <family val="2"/>
        <scheme val="minor"/>
      </rPr>
      <t>26.2.1.3</t>
    </r>
  </si>
  <si>
    <t>AG Perfomance scenario:
Parallel, key hole and U turn</t>
  </si>
  <si>
    <t>MAXIMPXTE (cm)</t>
  </si>
  <si>
    <r>
      <t>Permitted</t>
    </r>
    <r>
      <rPr>
        <b/>
        <sz val="11"/>
        <color theme="1"/>
        <rFont val="Calibri"/>
        <family val="2"/>
        <scheme val="minor"/>
      </rPr>
      <t xml:space="preserve"> MAXIMP </t>
    </r>
    <r>
      <rPr>
        <sz val="11"/>
        <color theme="1"/>
        <rFont val="Calibri"/>
        <family val="2"/>
        <scheme val="minor"/>
      </rPr>
      <t>XTE 12.7 cm)</t>
    </r>
  </si>
  <si>
    <r>
      <t xml:space="preserve">Permitted </t>
    </r>
    <r>
      <rPr>
        <b/>
        <sz val="11"/>
        <color theme="1"/>
        <rFont val="Calibri"/>
        <family val="2"/>
        <scheme val="minor"/>
      </rPr>
      <t>ABSAVG</t>
    </r>
    <r>
      <rPr>
        <sz val="11"/>
        <color theme="1"/>
        <rFont val="Calibri"/>
        <family val="2"/>
        <scheme val="minor"/>
      </rPr>
      <t xml:space="preserve"> XTE (5 cm)</t>
    </r>
  </si>
  <si>
    <r>
      <rPr>
        <b/>
        <sz val="11"/>
        <color theme="1"/>
        <rFont val="Calibri"/>
        <family val="2"/>
        <scheme val="minor"/>
      </rPr>
      <t>AVGABS</t>
    </r>
    <r>
      <rPr>
        <sz val="11"/>
        <color theme="1"/>
        <rFont val="Calibri"/>
        <family val="2"/>
        <scheme val="minor"/>
      </rPr>
      <t>IMPXTE (cm)</t>
    </r>
  </si>
  <si>
    <r>
      <rPr>
        <b/>
        <sz val="11"/>
        <color rgb="FFFF0000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ABS IMPXTE (cm)</t>
    </r>
  </si>
  <si>
    <r>
      <rPr>
        <b/>
        <sz val="11"/>
        <color rgb="FFFF0000"/>
        <rFont val="Calibri"/>
        <family val="2"/>
        <scheme val="minor"/>
      </rPr>
      <t>AVG</t>
    </r>
    <r>
      <rPr>
        <sz val="11"/>
        <rFont val="Calibri"/>
        <family val="2"/>
        <scheme val="minor"/>
      </rPr>
      <t>ABS</t>
    </r>
    <r>
      <rPr>
        <b/>
        <sz val="11"/>
        <color rgb="FFFF0000"/>
        <rFont val="Calibri"/>
        <family val="2"/>
        <scheme val="minor"/>
      </rPr>
      <t xml:space="preserve"> IMPXTE </t>
    </r>
    <r>
      <rPr>
        <sz val="11"/>
        <color theme="1"/>
        <rFont val="Calibri"/>
        <family val="2"/>
        <scheme val="minor"/>
      </rPr>
      <t>(cm)</t>
    </r>
  </si>
  <si>
    <t xml:space="preserve">
Parallel, key hole and U turn</t>
  </si>
  <si>
    <r>
      <rPr>
        <b/>
        <sz val="11"/>
        <color theme="1"/>
        <rFont val="Calibri"/>
        <family val="2"/>
        <scheme val="minor"/>
      </rPr>
      <t>AVGABS</t>
    </r>
    <r>
      <rPr>
        <sz val="11"/>
        <color theme="1"/>
        <rFont val="Calibri"/>
        <family val="2"/>
        <scheme val="minor"/>
      </rPr>
      <t xml:space="preserve"> IMPXTE (cm)</t>
    </r>
  </si>
  <si>
    <r>
      <rPr>
        <b/>
        <sz val="11"/>
        <color theme="1"/>
        <rFont val="Calibri"/>
        <family val="2"/>
        <scheme val="minor"/>
      </rPr>
      <t>MAXABS</t>
    </r>
    <r>
      <rPr>
        <sz val="11"/>
        <color theme="1"/>
        <rFont val="Calibri"/>
        <family val="2"/>
        <scheme val="minor"/>
      </rPr>
      <t xml:space="preserve"> IMPXTE (cm)</t>
    </r>
  </si>
  <si>
    <t>MAXABS IMPXTE (cm)</t>
  </si>
  <si>
    <r>
      <t xml:space="preserve">Permitted </t>
    </r>
    <r>
      <rPr>
        <b/>
        <sz val="11"/>
        <color theme="1"/>
        <rFont val="Calibri"/>
        <family val="2"/>
        <scheme val="minor"/>
      </rPr>
      <t>ABSAVG</t>
    </r>
    <r>
      <rPr>
        <sz val="11"/>
        <color theme="1"/>
        <rFont val="Calibri"/>
        <family val="2"/>
        <scheme val="minor"/>
      </rPr>
      <t xml:space="preserve"> XTE (2.5 cm)</t>
    </r>
  </si>
  <si>
    <r>
      <t>Permitted</t>
    </r>
    <r>
      <rPr>
        <b/>
        <sz val="11"/>
        <color theme="1"/>
        <rFont val="Calibri"/>
        <family val="2"/>
        <scheme val="minor"/>
      </rPr>
      <t xml:space="preserve"> MAXABS IMPXTE</t>
    </r>
    <r>
      <rPr>
        <sz val="11"/>
        <color theme="1"/>
        <rFont val="Calibri"/>
        <family val="2"/>
        <scheme val="minor"/>
      </rPr>
      <t xml:space="preserve">  -average of maxes - 5cm </t>
    </r>
  </si>
  <si>
    <t>ImplementSettlingTime (s)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</si>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</sst>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7"/>
      <color rgb="FF2C3E5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/>
      <top style="thick">
        <color theme="1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rgb="FF0070C0"/>
      </top>
      <bottom/>
      <diagonal/>
    </border>
    <border>
      <left style="thick">
        <color theme="1"/>
      </left>
      <right/>
      <top/>
      <bottom style="medium">
        <color indexed="64"/>
      </bottom>
      <diagonal/>
    </border>
    <border>
      <left style="thick">
        <color rgb="FF0070C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4" borderId="0" xfId="3" applyFont="1" applyAlignment="1">
      <alignment horizontal="center" wrapText="1"/>
    </xf>
    <xf numFmtId="0" fontId="0" fillId="5" borderId="0" xfId="4" applyFont="1" applyAlignment="1">
      <alignment wrapText="1"/>
    </xf>
    <xf numFmtId="0" fontId="0" fillId="0" borderId="2" xfId="0" applyBorder="1" applyAlignment="1">
      <alignment horizontal="center"/>
    </xf>
    <xf numFmtId="0" fontId="5" fillId="0" borderId="0" xfId="2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6" borderId="4" xfId="0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0" xfId="0" applyFont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4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8" borderId="0" xfId="4" applyFont="1" applyFill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3" applyFont="1" applyFill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8" borderId="10" xfId="4" applyFont="1" applyFill="1" applyBorder="1" applyAlignment="1">
      <alignment horizontal="center" vertical="center" wrapText="1"/>
    </xf>
    <xf numFmtId="0" fontId="0" fillId="8" borderId="0" xfId="4" applyFont="1" applyFill="1" applyBorder="1" applyAlignment="1">
      <alignment horizontal="center" vertical="center" wrapText="1"/>
    </xf>
    <xf numFmtId="0" fontId="0" fillId="8" borderId="11" xfId="4" applyFont="1" applyFill="1" applyBorder="1" applyAlignment="1">
      <alignment horizontal="center" vertical="center" wrapText="1"/>
    </xf>
    <xf numFmtId="0" fontId="0" fillId="0" borderId="10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5" fillId="0" borderId="10" xfId="2" applyFont="1" applyFill="1" applyBorder="1" applyAlignment="1">
      <alignment horizontal="center"/>
    </xf>
    <xf numFmtId="0" fontId="5" fillId="0" borderId="10" xfId="1" applyFont="1" applyFill="1" applyBorder="1" applyAlignment="1">
      <alignment horizontal="center"/>
    </xf>
    <xf numFmtId="0" fontId="5" fillId="0" borderId="12" xfId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/>
    <xf numFmtId="0" fontId="0" fillId="0" borderId="21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5">
    <cellStyle name="40% - Accent4" xfId="3" builtinId="43"/>
    <cellStyle name="40% - Accent6" xfId="4" builtinId="51"/>
    <cellStyle name="Bad" xfId="2" builtinId="27"/>
    <cellStyle name="Good" xfId="1" builtinId="26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VehicleSettledAnalysis - STDIMPXTE (cm)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'CCH (2)'!$D$19</c:f>
              <c:strCache>
                <c:ptCount val="1"/>
                <c:pt idx="0">
                  <c:v>Results - PIG - 26.2.0.144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'CCH (2)'!$C$22:$C$34</c:f>
              <c:strCache>
                <c:ptCount val="13"/>
                <c:pt idx="0">
                  <c:v>5kph Parallel (4,6m)</c:v>
                </c:pt>
                <c:pt idx="1">
                  <c:v>8kph Parallel (4,6m)</c:v>
                </c:pt>
                <c:pt idx="2">
                  <c:v>13kph Parallel (4,6m)</c:v>
                </c:pt>
                <c:pt idx="3">
                  <c:v>5kph Keyhole 10ft</c:v>
                </c:pt>
                <c:pt idx="4">
                  <c:v>5kph Keyhole 25ft </c:v>
                </c:pt>
                <c:pt idx="5">
                  <c:v>8kph Keyhole 10ft</c:v>
                </c:pt>
                <c:pt idx="6">
                  <c:v>8kph Keyhole 25ft</c:v>
                </c:pt>
                <c:pt idx="7">
                  <c:v>13kph Keyhole 10ft</c:v>
                </c:pt>
                <c:pt idx="8">
                  <c:v>13kph Keyhole 25ft</c:v>
                </c:pt>
                <c:pt idx="9">
                  <c:v>5kph U-turn 10ft</c:v>
                </c:pt>
                <c:pt idx="10">
                  <c:v>5kph U-turn 30ft</c:v>
                </c:pt>
                <c:pt idx="11">
                  <c:v>8kph U-turn 10ft</c:v>
                </c:pt>
                <c:pt idx="12">
                  <c:v>8kph U-turn 30ft</c:v>
                </c:pt>
              </c:strCache>
            </c:strRef>
          </c:cat>
          <c:val>
            <c:numRef>
              <c:f>'CCH (2)'!$D$22:$D$34</c:f>
              <c:numCache>
                <c:formatCode>General</c:formatCode>
                <c:ptCount val="13"/>
                <c:pt idx="0">
                  <c:v>8.3000000000000007</c:v>
                </c:pt>
                <c:pt idx="1">
                  <c:v>2.2999999999999998</c:v>
                </c:pt>
                <c:pt idx="2">
                  <c:v>2.7</c:v>
                </c:pt>
                <c:pt idx="3">
                  <c:v>1.6</c:v>
                </c:pt>
                <c:pt idx="4">
                  <c:v>9.4</c:v>
                </c:pt>
                <c:pt idx="5">
                  <c:v>10.5</c:v>
                </c:pt>
                <c:pt idx="6">
                  <c:v>19.399999999999999</c:v>
                </c:pt>
                <c:pt idx="7">
                  <c:v>2</c:v>
                </c:pt>
                <c:pt idx="8">
                  <c:v>2.2000000000000002</c:v>
                </c:pt>
                <c:pt idx="9">
                  <c:v>2.4</c:v>
                </c:pt>
                <c:pt idx="10">
                  <c:v>14.1</c:v>
                </c:pt>
                <c:pt idx="11">
                  <c:v>9</c:v>
                </c:pt>
                <c:pt idx="12">
                  <c:v>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6-4DD6-ACEB-4C81DAD3052F}"/>
            </c:ext>
          </c:extLst>
        </c:ser>
        <c:ser>
          <c:idx val="1"/>
          <c:order val="1"/>
          <c:tx>
            <c:strRef>
              <c:f>'CCH (2)'!$E$19</c:f>
              <c:strCache>
                <c:ptCount val="1"/>
                <c:pt idx="0">
                  <c:v>Results - PIG - 26.2.1.3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'CCH (2)'!$C$22:$C$34</c:f>
              <c:strCache>
                <c:ptCount val="13"/>
                <c:pt idx="0">
                  <c:v>5kph Parallel (4,6m)</c:v>
                </c:pt>
                <c:pt idx="1">
                  <c:v>8kph Parallel (4,6m)</c:v>
                </c:pt>
                <c:pt idx="2">
                  <c:v>13kph Parallel (4,6m)</c:v>
                </c:pt>
                <c:pt idx="3">
                  <c:v>5kph Keyhole 10ft</c:v>
                </c:pt>
                <c:pt idx="4">
                  <c:v>5kph Keyhole 25ft </c:v>
                </c:pt>
                <c:pt idx="5">
                  <c:v>8kph Keyhole 10ft</c:v>
                </c:pt>
                <c:pt idx="6">
                  <c:v>8kph Keyhole 25ft</c:v>
                </c:pt>
                <c:pt idx="7">
                  <c:v>13kph Keyhole 10ft</c:v>
                </c:pt>
                <c:pt idx="8">
                  <c:v>13kph Keyhole 25ft</c:v>
                </c:pt>
                <c:pt idx="9">
                  <c:v>5kph U-turn 10ft</c:v>
                </c:pt>
                <c:pt idx="10">
                  <c:v>5kph U-turn 30ft</c:v>
                </c:pt>
                <c:pt idx="11">
                  <c:v>8kph U-turn 10ft</c:v>
                </c:pt>
                <c:pt idx="12">
                  <c:v>8kph U-turn 30ft</c:v>
                </c:pt>
              </c:strCache>
            </c:strRef>
          </c:cat>
          <c:val>
            <c:numRef>
              <c:f>'CCH (2)'!$E$22:$E$34</c:f>
              <c:numCache>
                <c:formatCode>General</c:formatCode>
                <c:ptCount val="13"/>
                <c:pt idx="0">
                  <c:v>8.9</c:v>
                </c:pt>
                <c:pt idx="1">
                  <c:v>17.2</c:v>
                </c:pt>
                <c:pt idx="2">
                  <c:v>3</c:v>
                </c:pt>
                <c:pt idx="3">
                  <c:v>13.2</c:v>
                </c:pt>
                <c:pt idx="4">
                  <c:v>9.5</c:v>
                </c:pt>
                <c:pt idx="5">
                  <c:v>13.9</c:v>
                </c:pt>
                <c:pt idx="6">
                  <c:v>12.1</c:v>
                </c:pt>
                <c:pt idx="7">
                  <c:v>1.5</c:v>
                </c:pt>
                <c:pt idx="8">
                  <c:v>2.2999999999999998</c:v>
                </c:pt>
                <c:pt idx="9">
                  <c:v>1.6</c:v>
                </c:pt>
                <c:pt idx="10">
                  <c:v>9.8000000000000007</c:v>
                </c:pt>
                <c:pt idx="11">
                  <c:v>4.3</c:v>
                </c:pt>
                <c:pt idx="12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6-4DD6-ACEB-4C81DAD30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82354399"/>
        <c:axId val="746154143"/>
      </c:barChart>
      <c:catAx>
        <c:axId val="9823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54143"/>
        <c:crosses val="autoZero"/>
        <c:auto val="1"/>
        <c:lblAlgn val="ctr"/>
        <c:lblOffset val="100"/>
        <c:noMultiLvlLbl val="0"/>
      </c:catAx>
      <c:valAx>
        <c:axId val="746154143"/>
        <c:scaling>
          <c:orientation val="minMax"/>
        </c:scaling>
        <c:delete val="1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9823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155788</xdr:colOff>
      <xdr:row>18</xdr:row>
      <xdr:rowOff>93557</xdr:rowOff>
    </xdr:from>
    <xdr:to>
      <xdr:col>25</xdr:col>
      <xdr:colOff>550333</xdr:colOff>
      <xdr:row>42</xdr:row>
      <xdr:rowOff>160867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AD04A-9B80-4125-B490-F927E9ABA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3737-D380-4874-A108-939FA3B3B481}">
  <dimension ref="C4:M62"/>
  <sheetViews>
    <sheetView topLeftCell="A6" workbookViewId="0">
      <selection activeCell="F26" sqref="F26"/>
    </sheetView>
  </sheetViews>
  <sheetFormatPr defaultRowHeight="14.4" x14ac:dyDescent="0.3"/>
  <cols>
    <col min="3" max="3" width="9.44140625" style="1" customWidth="1"/>
    <col min="4" max="4" width="19.88671875" customWidth="1"/>
    <col min="5" max="5" width="25.6640625" bestFit="1" customWidth="1"/>
    <col min="6" max="6" width="21.88671875" style="1" customWidth="1"/>
    <col min="7" max="7" width="20.21875" style="1" customWidth="1"/>
    <col min="12" max="12" width="13.109375" customWidth="1"/>
  </cols>
  <sheetData>
    <row r="4" spans="3:13" ht="15" thickBot="1" x14ac:dyDescent="0.35">
      <c r="E4" s="1" t="s">
        <v>0</v>
      </c>
    </row>
    <row r="5" spans="3:13" ht="15.6" thickTop="1" thickBot="1" x14ac:dyDescent="0.35">
      <c r="C5" s="1" t="s">
        <v>17</v>
      </c>
      <c r="D5" s="1" t="s">
        <v>16</v>
      </c>
      <c r="E5" s="1" t="s">
        <v>1</v>
      </c>
      <c r="F5" s="7" t="s">
        <v>42</v>
      </c>
      <c r="G5" s="9" t="s">
        <v>43</v>
      </c>
      <c r="L5" s="11" t="s">
        <v>20</v>
      </c>
      <c r="M5" s="11" t="s">
        <v>21</v>
      </c>
    </row>
    <row r="6" spans="3:13" x14ac:dyDescent="0.3">
      <c r="C6" s="1">
        <v>1</v>
      </c>
      <c r="D6" s="1">
        <f>ROUND(CONVERT(E6, "km","mi"),2)</f>
        <v>1.24</v>
      </c>
      <c r="E6" s="1">
        <v>2</v>
      </c>
      <c r="F6" s="13">
        <v>3.6</v>
      </c>
      <c r="G6" s="12">
        <v>2.1</v>
      </c>
    </row>
    <row r="7" spans="3:13" ht="15" thickBot="1" x14ac:dyDescent="0.35">
      <c r="D7" s="1"/>
      <c r="E7" s="1"/>
      <c r="F7" s="14">
        <v>3.6</v>
      </c>
      <c r="G7" s="15">
        <v>1.7</v>
      </c>
    </row>
    <row r="8" spans="3:13" ht="15" thickBot="1" x14ac:dyDescent="0.35">
      <c r="D8" s="1"/>
      <c r="E8" s="1"/>
      <c r="F8" s="16">
        <f>AVERAGE(F6:F7)</f>
        <v>3.6</v>
      </c>
      <c r="G8" s="16">
        <f>AVERAGE(G6:G7)</f>
        <v>1.9</v>
      </c>
    </row>
    <row r="9" spans="3:13" x14ac:dyDescent="0.3">
      <c r="C9" s="1">
        <v>2</v>
      </c>
      <c r="D9" s="1">
        <f t="shared" ref="D9:D21" si="0">ROUND(CONVERT(E9, "km","mi"),2)</f>
        <v>3.11</v>
      </c>
      <c r="E9" s="1">
        <v>5</v>
      </c>
      <c r="F9" s="13">
        <v>4.9000000000000004</v>
      </c>
      <c r="G9" s="12">
        <v>1.9</v>
      </c>
    </row>
    <row r="10" spans="3:13" x14ac:dyDescent="0.3">
      <c r="D10" s="1"/>
      <c r="E10" s="1"/>
      <c r="F10" s="17">
        <v>4.0999999999999996</v>
      </c>
      <c r="G10" s="18">
        <v>1.4</v>
      </c>
    </row>
    <row r="11" spans="3:13" ht="15" thickBot="1" x14ac:dyDescent="0.35">
      <c r="D11" s="1"/>
      <c r="E11" s="1"/>
      <c r="F11" s="14">
        <v>5</v>
      </c>
      <c r="G11" s="15">
        <v>1.2</v>
      </c>
    </row>
    <row r="12" spans="3:13" ht="15" thickBot="1" x14ac:dyDescent="0.35">
      <c r="D12" s="1"/>
      <c r="E12" s="1"/>
      <c r="F12" s="16">
        <f>AVERAGE(F9:F11)</f>
        <v>4.666666666666667</v>
      </c>
      <c r="G12" s="16">
        <f>AVERAGE(G9:G11)</f>
        <v>1.5</v>
      </c>
    </row>
    <row r="13" spans="3:13" x14ac:dyDescent="0.3">
      <c r="C13" s="1">
        <v>3</v>
      </c>
      <c r="D13" s="1">
        <f t="shared" si="0"/>
        <v>6.21</v>
      </c>
      <c r="E13" s="1">
        <v>10</v>
      </c>
      <c r="F13" s="13">
        <v>12.8</v>
      </c>
      <c r="G13" s="12">
        <v>3.4</v>
      </c>
    </row>
    <row r="14" spans="3:13" x14ac:dyDescent="0.3">
      <c r="D14" s="1"/>
      <c r="E14" s="1"/>
      <c r="F14" s="17">
        <v>13.7</v>
      </c>
      <c r="G14" s="18">
        <v>2.2999999999999998</v>
      </c>
    </row>
    <row r="15" spans="3:13" ht="15" thickBot="1" x14ac:dyDescent="0.35">
      <c r="D15" s="1"/>
      <c r="E15" s="1"/>
      <c r="F15" s="14">
        <v>12.4</v>
      </c>
      <c r="G15" s="15">
        <v>2.2999999999999998</v>
      </c>
    </row>
    <row r="16" spans="3:13" ht="15" thickBot="1" x14ac:dyDescent="0.35">
      <c r="D16" s="1"/>
      <c r="E16" s="1"/>
      <c r="F16" s="16">
        <f>AVERAGE(F13:F15)</f>
        <v>12.966666666666667</v>
      </c>
      <c r="G16" s="16">
        <f>AVERAGE(G13:G15)</f>
        <v>2.6666666666666665</v>
      </c>
    </row>
    <row r="17" spans="3:7" x14ac:dyDescent="0.3">
      <c r="C17" s="1">
        <v>4</v>
      </c>
      <c r="D17" s="1">
        <f t="shared" si="0"/>
        <v>9.32</v>
      </c>
      <c r="E17" s="1">
        <v>15</v>
      </c>
      <c r="F17" s="13">
        <v>13.7</v>
      </c>
      <c r="G17" s="12">
        <v>3.7</v>
      </c>
    </row>
    <row r="18" spans="3:7" x14ac:dyDescent="0.3">
      <c r="D18" s="1"/>
      <c r="E18" s="1"/>
      <c r="F18" s="17">
        <v>9.8000000000000007</v>
      </c>
      <c r="G18" s="18">
        <v>3</v>
      </c>
    </row>
    <row r="19" spans="3:7" ht="15" thickBot="1" x14ac:dyDescent="0.35">
      <c r="D19" s="1"/>
      <c r="E19" s="1"/>
      <c r="F19" s="14">
        <v>6.5</v>
      </c>
      <c r="G19" s="15">
        <v>2.2999999999999998</v>
      </c>
    </row>
    <row r="20" spans="3:7" ht="15" thickBot="1" x14ac:dyDescent="0.35">
      <c r="D20" s="1"/>
      <c r="E20" s="1"/>
      <c r="F20" s="16">
        <f>AVERAGE(F17:F19)</f>
        <v>10</v>
      </c>
      <c r="G20" s="16">
        <f>AVERAGE(G17:G19)</f>
        <v>3</v>
      </c>
    </row>
    <row r="21" spans="3:7" x14ac:dyDescent="0.3">
      <c r="C21" s="1">
        <v>5</v>
      </c>
      <c r="D21" s="1">
        <f t="shared" si="0"/>
        <v>12.43</v>
      </c>
      <c r="E21" s="1">
        <v>20</v>
      </c>
      <c r="F21" s="13">
        <v>8.5</v>
      </c>
      <c r="G21" s="12">
        <v>2.8</v>
      </c>
    </row>
    <row r="22" spans="3:7" x14ac:dyDescent="0.3">
      <c r="D22" s="1"/>
      <c r="E22" s="1"/>
      <c r="F22" s="17">
        <v>14.1</v>
      </c>
      <c r="G22" s="18">
        <v>4.5</v>
      </c>
    </row>
    <row r="23" spans="3:7" ht="15" thickBot="1" x14ac:dyDescent="0.35">
      <c r="D23" s="1"/>
      <c r="E23" s="1"/>
      <c r="F23" s="14">
        <v>19.5</v>
      </c>
      <c r="G23" s="15">
        <v>5.9</v>
      </c>
    </row>
    <row r="24" spans="3:7" x14ac:dyDescent="0.3">
      <c r="D24" s="1"/>
      <c r="E24" s="1"/>
      <c r="F24" s="16">
        <f>AVERAGE(F21:F23)</f>
        <v>14.033333333333333</v>
      </c>
      <c r="G24" s="16">
        <f>AVERAGE(G21:G23)</f>
        <v>4.3999999999999995</v>
      </c>
    </row>
    <row r="25" spans="3:7" ht="15" thickBot="1" x14ac:dyDescent="0.35">
      <c r="E25" s="1" t="s">
        <v>2</v>
      </c>
    </row>
    <row r="26" spans="3:7" ht="15.6" thickTop="1" thickBot="1" x14ac:dyDescent="0.35">
      <c r="C26" s="1" t="s">
        <v>17</v>
      </c>
      <c r="D26" s="1" t="s">
        <v>16</v>
      </c>
      <c r="E26" s="1" t="s">
        <v>1</v>
      </c>
      <c r="F26" s="7" t="s">
        <v>42</v>
      </c>
      <c r="G26" s="9" t="s">
        <v>43</v>
      </c>
    </row>
    <row r="27" spans="3:7" x14ac:dyDescent="0.3">
      <c r="C27" s="1">
        <v>6</v>
      </c>
      <c r="D27" s="1" t="s">
        <v>23</v>
      </c>
      <c r="E27" s="1">
        <v>8</v>
      </c>
      <c r="F27" s="1">
        <v>8.1</v>
      </c>
      <c r="G27" s="19">
        <v>2.1</v>
      </c>
    </row>
    <row r="28" spans="3:7" x14ac:dyDescent="0.3">
      <c r="D28" s="1"/>
      <c r="E28" s="1"/>
      <c r="F28" s="1">
        <v>6.2</v>
      </c>
      <c r="G28" s="20">
        <v>1.7</v>
      </c>
    </row>
    <row r="29" spans="3:7" ht="15" thickBot="1" x14ac:dyDescent="0.35">
      <c r="D29" s="1"/>
      <c r="E29" s="1"/>
      <c r="F29" s="1">
        <v>5.0999999999999996</v>
      </c>
      <c r="G29" s="21">
        <v>1.5</v>
      </c>
    </row>
    <row r="30" spans="3:7" ht="15" thickBot="1" x14ac:dyDescent="0.35">
      <c r="D30" s="1"/>
      <c r="E30" s="1"/>
      <c r="F30" s="16">
        <f>AVERAGE(F27:F29)</f>
        <v>6.4666666666666659</v>
      </c>
      <c r="G30" s="16">
        <f>AVERAGE(G27:G29)</f>
        <v>1.7666666666666666</v>
      </c>
    </row>
    <row r="31" spans="3:7" x14ac:dyDescent="0.3">
      <c r="C31" s="1">
        <v>7</v>
      </c>
      <c r="D31" s="1" t="s">
        <v>24</v>
      </c>
      <c r="E31" s="1">
        <v>5</v>
      </c>
      <c r="F31" s="1">
        <v>9.6999999999999993</v>
      </c>
      <c r="G31" s="19">
        <v>3</v>
      </c>
    </row>
    <row r="32" spans="3:7" x14ac:dyDescent="0.3">
      <c r="D32" s="1"/>
      <c r="E32" s="1"/>
      <c r="F32" s="1">
        <v>9.4</v>
      </c>
      <c r="G32" s="20">
        <v>2.9</v>
      </c>
    </row>
    <row r="33" spans="3:7" ht="15" thickBot="1" x14ac:dyDescent="0.35">
      <c r="D33" s="1"/>
      <c r="E33" s="1"/>
      <c r="F33" s="1">
        <v>9.1999999999999993</v>
      </c>
      <c r="G33" s="21">
        <v>2.7</v>
      </c>
    </row>
    <row r="34" spans="3:7" ht="15" thickBot="1" x14ac:dyDescent="0.35">
      <c r="D34" s="1"/>
      <c r="E34" s="1"/>
      <c r="F34" s="16">
        <f>AVERAGE(F31:F33)</f>
        <v>9.4333333333333336</v>
      </c>
      <c r="G34" s="16">
        <f>AVERAGE(G31:G33)</f>
        <v>2.8666666666666671</v>
      </c>
    </row>
    <row r="35" spans="3:7" x14ac:dyDescent="0.3">
      <c r="C35" s="1">
        <v>8</v>
      </c>
      <c r="D35" s="1" t="s">
        <v>28</v>
      </c>
      <c r="E35" s="1">
        <v>12.8</v>
      </c>
      <c r="F35" s="1">
        <v>15.8</v>
      </c>
      <c r="G35" s="19">
        <v>4.9000000000000004</v>
      </c>
    </row>
    <row r="36" spans="3:7" x14ac:dyDescent="0.3">
      <c r="D36" s="1"/>
      <c r="E36" s="1"/>
      <c r="F36" s="1">
        <v>25.1</v>
      </c>
      <c r="G36" s="20">
        <v>7.7</v>
      </c>
    </row>
    <row r="37" spans="3:7" ht="15" thickBot="1" x14ac:dyDescent="0.35">
      <c r="D37" s="1"/>
      <c r="E37" s="1"/>
      <c r="F37" s="1">
        <v>14.2</v>
      </c>
      <c r="G37" s="21">
        <v>6.6</v>
      </c>
    </row>
    <row r="38" spans="3:7" x14ac:dyDescent="0.3">
      <c r="D38" s="1"/>
      <c r="E38" s="1"/>
      <c r="F38" s="16">
        <f>AVERAGE(F35:F37)</f>
        <v>18.366666666666671</v>
      </c>
      <c r="G38" s="16">
        <f>AVERAGE(G35:G37)</f>
        <v>6.4000000000000012</v>
      </c>
    </row>
    <row r="39" spans="3:7" x14ac:dyDescent="0.3">
      <c r="D39" s="1"/>
      <c r="E39" s="1"/>
    </row>
    <row r="42" spans="3:7" x14ac:dyDescent="0.3">
      <c r="D42" s="1"/>
      <c r="E42" s="1"/>
    </row>
    <row r="43" spans="3:7" x14ac:dyDescent="0.3">
      <c r="D43" s="1"/>
      <c r="E43" s="1"/>
    </row>
    <row r="44" spans="3:7" x14ac:dyDescent="0.3">
      <c r="D44" s="1"/>
      <c r="E44" s="1"/>
    </row>
    <row r="45" spans="3:7" x14ac:dyDescent="0.3">
      <c r="D45" s="1"/>
      <c r="E45" s="1"/>
    </row>
    <row r="46" spans="3:7" x14ac:dyDescent="0.3">
      <c r="D46" s="1"/>
      <c r="E46" s="1"/>
    </row>
    <row r="47" spans="3:7" x14ac:dyDescent="0.3">
      <c r="D47" s="1"/>
      <c r="E47" s="1"/>
    </row>
    <row r="48" spans="3:7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37"/>
  <sheetViews>
    <sheetView tabSelected="1" topLeftCell="A4" zoomScale="90" zoomScaleNormal="90" workbookViewId="0">
      <selection activeCell="E14" sqref="E14"/>
    </sheetView>
  </sheetViews>
  <sheetFormatPr defaultRowHeight="14.4" x14ac:dyDescent="0.3"/>
  <cols>
    <col min="1" max="1" width="4.88671875" style="1" bestFit="1" customWidth="1"/>
    <col min="2" max="2" width="12" bestFit="1" customWidth="1"/>
    <col min="3" max="3" width="21.6640625" customWidth="1"/>
    <col min="4" max="4" width="28.6640625" customWidth="1"/>
    <col min="5" max="5" width="28" bestFit="1" customWidth="1"/>
    <col min="6" max="6" width="19.21875" customWidth="1"/>
    <col min="7" max="7" width="28" bestFit="1" customWidth="1"/>
    <col min="8" max="8" width="30" customWidth="1"/>
    <col min="9" max="9" width="28.77734375" bestFit="1" customWidth="1"/>
  </cols>
  <sheetData>
    <row r="4" spans="1:13" ht="54.6" customHeight="1" thickBot="1" x14ac:dyDescent="0.35">
      <c r="C4" s="47" t="s">
        <v>0</v>
      </c>
      <c r="D4" s="23" t="s">
        <v>31</v>
      </c>
      <c r="E4" s="3" t="s">
        <v>19</v>
      </c>
      <c r="F4" s="23" t="s">
        <v>31</v>
      </c>
      <c r="G4" s="3" t="s">
        <v>19</v>
      </c>
      <c r="H4" s="23"/>
      <c r="I4" s="27"/>
    </row>
    <row r="5" spans="1:13" ht="29.4" thickTop="1" x14ac:dyDescent="0.3">
      <c r="A5" s="1" t="s">
        <v>17</v>
      </c>
      <c r="B5" s="1" t="s">
        <v>16</v>
      </c>
      <c r="C5" s="1" t="s">
        <v>1</v>
      </c>
      <c r="D5" s="2" t="s">
        <v>49</v>
      </c>
      <c r="E5" s="26" t="s">
        <v>29</v>
      </c>
      <c r="F5" s="8" t="s">
        <v>48</v>
      </c>
      <c r="G5" s="9" t="s">
        <v>41</v>
      </c>
      <c r="H5" s="23"/>
      <c r="I5" s="24"/>
    </row>
    <row r="6" spans="1:13" x14ac:dyDescent="0.3">
      <c r="A6" s="1">
        <v>1</v>
      </c>
      <c r="B6" s="1">
        <f>ROUND(CONVERT(C6, "km","mi"),2)</f>
        <v>1.24</v>
      </c>
      <c r="C6" s="1">
        <v>2</v>
      </c>
      <c r="D6" s="17">
        <v>5</v>
      </c>
      <c r="E6" s="1">
        <f>Sheet1!F8</f>
        <v>3.6</v>
      </c>
      <c r="F6" s="10">
        <v>2.5</v>
      </c>
      <c r="G6" s="28">
        <f>Sheet1!G8</f>
        <v>1.9</v>
      </c>
      <c r="H6" s="1"/>
      <c r="I6" s="1"/>
    </row>
    <row r="7" spans="1:13" x14ac:dyDescent="0.3">
      <c r="A7" s="1">
        <v>2</v>
      </c>
      <c r="B7" s="1">
        <f t="shared" ref="B7:B10" si="0">ROUND(CONVERT(C7, "km","mi"),2)</f>
        <v>3.11</v>
      </c>
      <c r="C7" s="1">
        <v>5</v>
      </c>
      <c r="D7" s="17">
        <v>5</v>
      </c>
      <c r="E7" s="1">
        <f>Sheet1!F12</f>
        <v>4.666666666666667</v>
      </c>
      <c r="F7" s="10">
        <v>2.5</v>
      </c>
      <c r="G7" s="28">
        <f>Sheet1!G12</f>
        <v>1.5</v>
      </c>
      <c r="H7" s="1"/>
      <c r="I7" s="1"/>
    </row>
    <row r="8" spans="1:13" x14ac:dyDescent="0.3">
      <c r="A8" s="1">
        <v>3</v>
      </c>
      <c r="B8" s="1">
        <f t="shared" si="0"/>
        <v>6.21</v>
      </c>
      <c r="C8" s="49">
        <v>10</v>
      </c>
      <c r="D8" s="17">
        <v>5</v>
      </c>
      <c r="E8" s="1">
        <f>Sheet1!F16</f>
        <v>12.966666666666667</v>
      </c>
      <c r="F8" s="10">
        <v>2.5</v>
      </c>
      <c r="G8" s="28">
        <f>Sheet1!G16</f>
        <v>2.6666666666666665</v>
      </c>
      <c r="H8" s="1"/>
      <c r="I8" s="1"/>
    </row>
    <row r="9" spans="1:13" x14ac:dyDescent="0.3">
      <c r="A9" s="1">
        <v>4</v>
      </c>
      <c r="B9" s="1">
        <f t="shared" si="0"/>
        <v>9.32</v>
      </c>
      <c r="C9" s="1">
        <v>15</v>
      </c>
      <c r="D9" s="17">
        <v>5</v>
      </c>
      <c r="E9" s="1">
        <f>Sheet1!F20</f>
        <v>10</v>
      </c>
      <c r="F9" s="10">
        <v>2.5</v>
      </c>
      <c r="G9" s="28">
        <f>Sheet1!G20</f>
        <v>3</v>
      </c>
      <c r="H9" s="1"/>
      <c r="I9" s="1"/>
      <c r="M9" s="1"/>
    </row>
    <row r="10" spans="1:13" x14ac:dyDescent="0.3">
      <c r="A10" s="1">
        <v>5</v>
      </c>
      <c r="B10" s="1">
        <f t="shared" si="0"/>
        <v>12.43</v>
      </c>
      <c r="C10" s="49">
        <v>20</v>
      </c>
      <c r="D10" s="17">
        <v>5</v>
      </c>
      <c r="E10" s="1">
        <f>Sheet1!F24</f>
        <v>14.033333333333333</v>
      </c>
      <c r="F10" s="10">
        <v>2.5</v>
      </c>
      <c r="G10" s="28">
        <f>Sheet1!G24</f>
        <v>4.3999999999999995</v>
      </c>
      <c r="H10" s="1"/>
      <c r="I10" s="1"/>
      <c r="M10" s="1"/>
    </row>
    <row r="11" spans="1:13" x14ac:dyDescent="0.3">
      <c r="M11" s="1"/>
    </row>
    <row r="12" spans="1:13" x14ac:dyDescent="0.3">
      <c r="M12" s="1"/>
    </row>
    <row r="13" spans="1:13" ht="43.8" thickBot="1" x14ac:dyDescent="0.35">
      <c r="C13" s="47" t="s">
        <v>2</v>
      </c>
      <c r="E13" s="4" t="s">
        <v>33</v>
      </c>
      <c r="F13" s="23" t="s">
        <v>31</v>
      </c>
      <c r="G13" s="4" t="s">
        <v>18</v>
      </c>
      <c r="M13" s="1"/>
    </row>
    <row r="14" spans="1:13" ht="29.4" thickTop="1" x14ac:dyDescent="0.3">
      <c r="A14" s="1" t="s">
        <v>17</v>
      </c>
      <c r="B14" s="1" t="s">
        <v>16</v>
      </c>
      <c r="C14" s="1" t="s">
        <v>1</v>
      </c>
      <c r="D14" s="2" t="s">
        <v>49</v>
      </c>
      <c r="E14" s="7" t="s">
        <v>47</v>
      </c>
      <c r="F14" s="8" t="s">
        <v>48</v>
      </c>
      <c r="G14" s="9" t="s">
        <v>32</v>
      </c>
      <c r="M14" s="1"/>
    </row>
    <row r="15" spans="1:13" x14ac:dyDescent="0.3">
      <c r="A15" s="1">
        <v>6</v>
      </c>
      <c r="B15" s="1">
        <v>5</v>
      </c>
      <c r="C15" s="1" t="s">
        <v>25</v>
      </c>
      <c r="D15" s="5">
        <v>5</v>
      </c>
      <c r="E15" s="6">
        <f>Sheet1!F30</f>
        <v>6.4666666666666659</v>
      </c>
      <c r="F15" s="10">
        <v>2.5</v>
      </c>
      <c r="G15" s="28">
        <v>1.7666666666666666</v>
      </c>
      <c r="M15" s="1"/>
    </row>
    <row r="16" spans="1:13" x14ac:dyDescent="0.3">
      <c r="A16" s="1">
        <v>7</v>
      </c>
      <c r="B16" s="1">
        <v>5</v>
      </c>
      <c r="C16" s="1" t="s">
        <v>26</v>
      </c>
      <c r="D16" s="5">
        <v>5</v>
      </c>
      <c r="E16" s="6">
        <f>Sheet1!F34</f>
        <v>9.4333333333333336</v>
      </c>
      <c r="F16" s="10">
        <v>2.5</v>
      </c>
      <c r="G16" s="28">
        <v>2.8666666666666671</v>
      </c>
    </row>
    <row r="17" spans="1:9" x14ac:dyDescent="0.3">
      <c r="A17" s="1">
        <v>8</v>
      </c>
      <c r="B17" s="1">
        <v>8</v>
      </c>
      <c r="C17" s="1" t="s">
        <v>27</v>
      </c>
      <c r="D17" s="5">
        <v>5</v>
      </c>
      <c r="E17" s="6">
        <f>Sheet1!F38</f>
        <v>18.366666666666671</v>
      </c>
      <c r="F17" s="10">
        <v>2.5</v>
      </c>
      <c r="G17" s="28">
        <v>6.4000000000000012</v>
      </c>
    </row>
    <row r="18" spans="1:9" x14ac:dyDescent="0.3">
      <c r="B18" s="1"/>
      <c r="C18" s="1"/>
      <c r="D18" s="1"/>
      <c r="E18" s="6"/>
      <c r="F18" s="1"/>
      <c r="G18" s="29"/>
    </row>
    <row r="19" spans="1:9" x14ac:dyDescent="0.3">
      <c r="B19" s="1"/>
      <c r="C19" s="1"/>
      <c r="D19" s="1"/>
      <c r="E19" s="6"/>
      <c r="F19" s="1"/>
      <c r="G19" s="29"/>
    </row>
    <row r="21" spans="1:9" ht="43.2" x14ac:dyDescent="0.3">
      <c r="C21" s="48" t="s">
        <v>44</v>
      </c>
      <c r="D21" s="24"/>
      <c r="E21" s="46"/>
      <c r="F21" s="46"/>
      <c r="G21" s="46"/>
      <c r="H21" s="46"/>
      <c r="I21" s="46"/>
    </row>
    <row r="22" spans="1:9" ht="75" customHeight="1" thickBot="1" x14ac:dyDescent="0.35">
      <c r="A22" s="1" t="s">
        <v>17</v>
      </c>
      <c r="B22" s="1" t="s">
        <v>16</v>
      </c>
      <c r="C22" s="1" t="s">
        <v>3</v>
      </c>
      <c r="D22" s="23"/>
      <c r="E22" s="33" t="s">
        <v>34</v>
      </c>
      <c r="F22" s="23"/>
      <c r="G22" s="34" t="s">
        <v>34</v>
      </c>
    </row>
    <row r="23" spans="1:9" ht="37.799999999999997" customHeight="1" thickTop="1" x14ac:dyDescent="0.3">
      <c r="B23" s="1"/>
      <c r="C23" s="1"/>
      <c r="D23" s="2" t="s">
        <v>39</v>
      </c>
      <c r="E23" s="7" t="s">
        <v>46</v>
      </c>
      <c r="F23" s="8" t="s">
        <v>40</v>
      </c>
      <c r="G23" s="9" t="s">
        <v>45</v>
      </c>
      <c r="H23" t="s">
        <v>50</v>
      </c>
    </row>
    <row r="24" spans="1:9" x14ac:dyDescent="0.3">
      <c r="A24" s="1">
        <v>9</v>
      </c>
      <c r="B24" s="1">
        <v>3.6</v>
      </c>
      <c r="C24" s="1" t="s">
        <v>4</v>
      </c>
      <c r="D24" s="5">
        <v>12.7</v>
      </c>
      <c r="E24" s="1">
        <v>41.5</v>
      </c>
      <c r="F24" s="10">
        <v>5</v>
      </c>
      <c r="G24" s="18">
        <v>7.1</v>
      </c>
      <c r="H24" s="1">
        <v>8.9499999999999993</v>
      </c>
    </row>
    <row r="25" spans="1:9" x14ac:dyDescent="0.3">
      <c r="A25" s="1">
        <v>10</v>
      </c>
      <c r="B25" s="1">
        <v>5</v>
      </c>
      <c r="C25" s="1" t="s">
        <v>5</v>
      </c>
      <c r="D25" s="5">
        <v>12.7</v>
      </c>
      <c r="E25" s="1">
        <v>83</v>
      </c>
      <c r="F25" s="10">
        <v>5</v>
      </c>
      <c r="G25" s="18">
        <v>9.1</v>
      </c>
      <c r="H25" s="1">
        <v>6.05</v>
      </c>
    </row>
    <row r="26" spans="1:9" x14ac:dyDescent="0.3">
      <c r="A26" s="1">
        <v>11</v>
      </c>
      <c r="B26" s="1">
        <v>8</v>
      </c>
      <c r="C26" s="1" t="s">
        <v>6</v>
      </c>
      <c r="D26" s="5">
        <v>12.7</v>
      </c>
      <c r="E26" s="1">
        <v>7.4</v>
      </c>
      <c r="F26" s="10">
        <v>5</v>
      </c>
      <c r="G26" s="18">
        <v>2.6</v>
      </c>
      <c r="H26" s="1">
        <v>3.9</v>
      </c>
    </row>
    <row r="27" spans="1:9" x14ac:dyDescent="0.3">
      <c r="A27" s="1">
        <v>12</v>
      </c>
      <c r="B27" s="1">
        <v>3.6</v>
      </c>
      <c r="C27" s="1" t="s">
        <v>7</v>
      </c>
      <c r="D27" s="5">
        <v>12.7</v>
      </c>
      <c r="E27" s="1">
        <v>63</v>
      </c>
      <c r="F27" s="10">
        <v>5</v>
      </c>
      <c r="G27" s="18">
        <v>8.1999999999999993</v>
      </c>
      <c r="H27" s="1">
        <v>10.85</v>
      </c>
    </row>
    <row r="28" spans="1:9" x14ac:dyDescent="0.3">
      <c r="A28" s="1">
        <v>13</v>
      </c>
      <c r="B28" s="1">
        <v>3.6</v>
      </c>
      <c r="C28" s="1" t="s">
        <v>30</v>
      </c>
      <c r="D28" s="5">
        <v>12.7</v>
      </c>
      <c r="E28" s="1">
        <v>53.3</v>
      </c>
      <c r="F28" s="10">
        <v>5</v>
      </c>
      <c r="G28" s="18">
        <v>5.3</v>
      </c>
      <c r="H28" s="1">
        <v>10.1</v>
      </c>
    </row>
    <row r="29" spans="1:9" x14ac:dyDescent="0.3">
      <c r="A29" s="1">
        <v>14</v>
      </c>
      <c r="B29" s="1">
        <v>5</v>
      </c>
      <c r="C29" s="1" t="s">
        <v>8</v>
      </c>
      <c r="D29" s="5">
        <v>12.7</v>
      </c>
      <c r="E29" s="1">
        <v>50.1</v>
      </c>
      <c r="F29" s="10">
        <v>5</v>
      </c>
      <c r="G29" s="18">
        <v>12.9</v>
      </c>
      <c r="H29" s="1" t="s">
        <v>51</v>
      </c>
    </row>
    <row r="30" spans="1:9" x14ac:dyDescent="0.3">
      <c r="A30" s="1">
        <v>15</v>
      </c>
      <c r="B30" s="1">
        <v>5</v>
      </c>
      <c r="C30" s="1" t="s">
        <v>9</v>
      </c>
      <c r="D30" s="5">
        <v>12.7</v>
      </c>
      <c r="E30" s="1">
        <v>41.5</v>
      </c>
      <c r="F30" s="10">
        <v>5</v>
      </c>
      <c r="G30" s="18">
        <v>11.8</v>
      </c>
      <c r="H30" s="1" t="s">
        <v>51</v>
      </c>
    </row>
    <row r="31" spans="1:9" x14ac:dyDescent="0.3">
      <c r="A31" s="1">
        <v>16</v>
      </c>
      <c r="B31" s="1">
        <v>8</v>
      </c>
      <c r="C31" s="1" t="s">
        <v>10</v>
      </c>
      <c r="D31" s="5">
        <v>12.7</v>
      </c>
      <c r="E31" s="1">
        <v>5.9</v>
      </c>
      <c r="F31" s="10">
        <v>5</v>
      </c>
      <c r="G31" s="18">
        <v>1.9</v>
      </c>
      <c r="H31" s="1">
        <v>0.9</v>
      </c>
    </row>
    <row r="32" spans="1:9" x14ac:dyDescent="0.3">
      <c r="A32" s="1">
        <v>17</v>
      </c>
      <c r="B32" s="1">
        <v>8</v>
      </c>
      <c r="C32" s="1" t="s">
        <v>11</v>
      </c>
      <c r="D32" s="5">
        <v>12.7</v>
      </c>
      <c r="E32" s="1">
        <v>7.1</v>
      </c>
      <c r="F32" s="10">
        <v>5</v>
      </c>
      <c r="G32" s="18">
        <v>2.2999999999999998</v>
      </c>
      <c r="H32" s="1">
        <v>1</v>
      </c>
    </row>
    <row r="33" spans="1:8" x14ac:dyDescent="0.3">
      <c r="A33" s="1">
        <v>18</v>
      </c>
      <c r="B33" s="1">
        <v>3.6</v>
      </c>
      <c r="C33" s="1" t="s">
        <v>12</v>
      </c>
      <c r="D33" s="5">
        <v>12.7</v>
      </c>
      <c r="E33" s="1">
        <v>5</v>
      </c>
      <c r="F33" s="10">
        <v>5</v>
      </c>
      <c r="G33" s="18">
        <v>2.2000000000000002</v>
      </c>
      <c r="H33" s="1">
        <v>5.85</v>
      </c>
    </row>
    <row r="34" spans="1:8" x14ac:dyDescent="0.3">
      <c r="A34" s="1">
        <v>19</v>
      </c>
      <c r="B34" s="1">
        <v>3.6</v>
      </c>
      <c r="C34" s="1" t="s">
        <v>13</v>
      </c>
      <c r="D34" s="5">
        <v>12.7</v>
      </c>
      <c r="E34" s="1">
        <v>53.8</v>
      </c>
      <c r="F34" s="10">
        <v>5</v>
      </c>
      <c r="G34" s="18">
        <v>6</v>
      </c>
      <c r="H34" s="1">
        <v>14.3</v>
      </c>
    </row>
    <row r="35" spans="1:8" x14ac:dyDescent="0.3">
      <c r="A35" s="1">
        <v>20</v>
      </c>
      <c r="B35" s="1">
        <v>5</v>
      </c>
      <c r="C35" s="1" t="s">
        <v>14</v>
      </c>
      <c r="D35" s="5">
        <v>12.7</v>
      </c>
      <c r="E35" s="1">
        <v>24.5</v>
      </c>
      <c r="F35" s="10">
        <v>5</v>
      </c>
      <c r="G35" s="18">
        <v>3</v>
      </c>
      <c r="H35" s="1">
        <v>9.3000000000000007</v>
      </c>
    </row>
    <row r="36" spans="1:8" ht="15" thickBot="1" x14ac:dyDescent="0.35">
      <c r="A36" s="1">
        <v>21</v>
      </c>
      <c r="B36" s="1">
        <v>5</v>
      </c>
      <c r="C36" s="1" t="s">
        <v>15</v>
      </c>
      <c r="D36" s="42">
        <v>12.7</v>
      </c>
      <c r="E36" s="1">
        <v>54.3</v>
      </c>
      <c r="F36" s="44">
        <v>5</v>
      </c>
      <c r="G36" s="15">
        <v>4.5</v>
      </c>
      <c r="H36" s="1">
        <v>6.25</v>
      </c>
    </row>
    <row r="37" spans="1:8" x14ac:dyDescent="0.3">
      <c r="E37" s="1"/>
    </row>
  </sheetData>
  <conditionalFormatting sqref="E6:E10">
    <cfRule type="cellIs" dxfId="15" priority="3" operator="greaterThan">
      <formula>5</formula>
    </cfRule>
    <cfRule type="cellIs" dxfId="14" priority="10" operator="greaterThan">
      <formula>12.7</formula>
    </cfRule>
  </conditionalFormatting>
  <conditionalFormatting sqref="E15:E17">
    <cfRule type="cellIs" dxfId="13" priority="2" operator="greaterThan">
      <formula>5</formula>
    </cfRule>
  </conditionalFormatting>
  <conditionalFormatting sqref="E15:E19">
    <cfRule type="cellIs" dxfId="12" priority="8" operator="greaterThan">
      <formula>12.7</formula>
    </cfRule>
  </conditionalFormatting>
  <conditionalFormatting sqref="E24:E36">
    <cfRule type="cellIs" dxfId="11" priority="5" operator="greaterThan">
      <formula>12.7</formula>
    </cfRule>
  </conditionalFormatting>
  <conditionalFormatting sqref="G6:G10">
    <cfRule type="cellIs" dxfId="10" priority="4" operator="greaterThan">
      <formula>2.5</formula>
    </cfRule>
    <cfRule type="cellIs" dxfId="9" priority="9" operator="greaterThan">
      <formula>5</formula>
    </cfRule>
  </conditionalFormatting>
  <conditionalFormatting sqref="G15:G17">
    <cfRule type="cellIs" dxfId="8" priority="1" operator="greaterThan">
      <formula>2.5</formula>
    </cfRule>
  </conditionalFormatting>
  <conditionalFormatting sqref="G15:G19">
    <cfRule type="cellIs" dxfId="7" priority="7" operator="greaterThan">
      <formula>5</formula>
    </cfRule>
  </conditionalFormatting>
  <conditionalFormatting sqref="G24:G36">
    <cfRule type="cellIs" dxfId="6" priority="6" operator="greaterThan">
      <formula>5</formula>
    </cfRule>
  </conditionalFormatting>
  <conditionalFormatting sqref="I6:I10">
    <cfRule type="cellIs" dxfId="5" priority="20" operator="greaterThan">
      <formula>2.5</formula>
    </cfRule>
  </conditionalFormatting>
  <pageMargins left="0.7" right="0.7" top="0.75" bottom="0.75" header="0.3" footer="0.3"/>
  <headerFooter>
    <oddHeader>&amp;L&amp;"Aptos"&amp;10&amp;K000000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6B8B-E256-4EC2-8E07-C4FC0206649A}">
  <dimension ref="A4:M35"/>
  <sheetViews>
    <sheetView topLeftCell="A15" zoomScale="90" zoomScaleNormal="90" workbookViewId="0">
      <selection activeCell="F38" sqref="F38"/>
    </sheetView>
  </sheetViews>
  <sheetFormatPr defaultRowHeight="14.4" x14ac:dyDescent="0.3"/>
  <cols>
    <col min="1" max="1" width="4.88671875" style="1" bestFit="1" customWidth="1"/>
    <col min="2" max="2" width="12" bestFit="1" customWidth="1"/>
    <col min="3" max="3" width="21.6640625" customWidth="1"/>
    <col min="4" max="4" width="28.6640625" customWidth="1"/>
    <col min="5" max="5" width="28" bestFit="1" customWidth="1"/>
    <col min="6" max="6" width="19.21875" customWidth="1"/>
    <col min="7" max="7" width="28" bestFit="1" customWidth="1"/>
    <col min="8" max="8" width="21" customWidth="1"/>
    <col min="9" max="9" width="28.77734375" bestFit="1" customWidth="1"/>
  </cols>
  <sheetData>
    <row r="4" spans="1:13" ht="54.6" customHeight="1" thickBot="1" x14ac:dyDescent="0.35">
      <c r="C4" s="1" t="s">
        <v>0</v>
      </c>
      <c r="D4" s="23" t="s">
        <v>31</v>
      </c>
      <c r="E4" s="3" t="s">
        <v>19</v>
      </c>
      <c r="F4" s="23" t="s">
        <v>31</v>
      </c>
      <c r="G4" s="3" t="s">
        <v>19</v>
      </c>
      <c r="H4" s="23"/>
      <c r="I4" s="27"/>
    </row>
    <row r="5" spans="1:13" ht="29.4" thickTop="1" x14ac:dyDescent="0.3">
      <c r="A5" s="1" t="s">
        <v>17</v>
      </c>
      <c r="B5" s="1" t="s">
        <v>16</v>
      </c>
      <c r="C5" s="1" t="s">
        <v>1</v>
      </c>
      <c r="D5" s="2" t="s">
        <v>39</v>
      </c>
      <c r="E5" s="26" t="s">
        <v>29</v>
      </c>
      <c r="F5" s="8" t="s">
        <v>40</v>
      </c>
      <c r="G5" s="9" t="s">
        <v>41</v>
      </c>
      <c r="H5" s="23"/>
      <c r="I5" s="24"/>
    </row>
    <row r="6" spans="1:13" x14ac:dyDescent="0.3">
      <c r="A6" s="1">
        <v>1</v>
      </c>
      <c r="B6" s="1">
        <f>ROUND(CONVERT(C6, "km","mi"),2)</f>
        <v>1.24</v>
      </c>
      <c r="C6" s="1">
        <v>2</v>
      </c>
      <c r="D6" s="17">
        <v>12.7</v>
      </c>
      <c r="E6" s="1">
        <f>Sheet1!F8</f>
        <v>3.6</v>
      </c>
      <c r="F6" s="10">
        <v>5</v>
      </c>
      <c r="G6" s="28">
        <f>Sheet1!G8</f>
        <v>1.9</v>
      </c>
      <c r="H6" s="1"/>
      <c r="I6" s="1"/>
    </row>
    <row r="7" spans="1:13" x14ac:dyDescent="0.3">
      <c r="A7" s="1">
        <v>2</v>
      </c>
      <c r="B7" s="1">
        <f t="shared" ref="B7:B10" si="0">ROUND(CONVERT(C7, "km","mi"),2)</f>
        <v>3.11</v>
      </c>
      <c r="C7" s="1">
        <v>5</v>
      </c>
      <c r="D7" s="17">
        <v>12.7</v>
      </c>
      <c r="E7" s="1">
        <f>Sheet1!F12</f>
        <v>4.666666666666667</v>
      </c>
      <c r="F7" s="10">
        <v>5</v>
      </c>
      <c r="G7" s="28">
        <f>Sheet1!G12</f>
        <v>1.5</v>
      </c>
      <c r="H7" s="1"/>
      <c r="I7" s="1"/>
    </row>
    <row r="8" spans="1:13" x14ac:dyDescent="0.3">
      <c r="A8" s="1">
        <v>3</v>
      </c>
      <c r="B8" s="1">
        <f t="shared" si="0"/>
        <v>6.21</v>
      </c>
      <c r="C8" s="1">
        <v>10</v>
      </c>
      <c r="D8" s="17">
        <v>12.7</v>
      </c>
      <c r="E8" s="1">
        <f>Sheet1!F16</f>
        <v>12.966666666666667</v>
      </c>
      <c r="F8" s="10">
        <v>5</v>
      </c>
      <c r="G8" s="28">
        <f>Sheet1!G16</f>
        <v>2.6666666666666665</v>
      </c>
      <c r="H8" s="1"/>
      <c r="I8" s="1"/>
    </row>
    <row r="9" spans="1:13" x14ac:dyDescent="0.3">
      <c r="A9" s="1">
        <v>4</v>
      </c>
      <c r="B9" s="1">
        <f t="shared" si="0"/>
        <v>9.32</v>
      </c>
      <c r="C9" s="1">
        <v>15</v>
      </c>
      <c r="D9" s="17">
        <v>12.7</v>
      </c>
      <c r="E9" s="1">
        <f>Sheet1!F20</f>
        <v>10</v>
      </c>
      <c r="F9" s="17">
        <v>5</v>
      </c>
      <c r="G9" s="28">
        <f>Sheet1!G20</f>
        <v>3</v>
      </c>
      <c r="H9" s="1"/>
      <c r="I9" s="1"/>
      <c r="M9" s="1"/>
    </row>
    <row r="10" spans="1:13" x14ac:dyDescent="0.3">
      <c r="A10" s="1">
        <v>5</v>
      </c>
      <c r="B10" s="1">
        <f t="shared" si="0"/>
        <v>12.43</v>
      </c>
      <c r="C10" s="1">
        <v>20</v>
      </c>
      <c r="D10" s="17">
        <v>12.7</v>
      </c>
      <c r="E10" s="1">
        <f>Sheet1!F24</f>
        <v>14.033333333333333</v>
      </c>
      <c r="F10" s="17">
        <v>5</v>
      </c>
      <c r="G10" s="28">
        <f>Sheet1!G24</f>
        <v>4.3999999999999995</v>
      </c>
      <c r="H10" s="1"/>
      <c r="I10" s="1"/>
      <c r="M10" s="1"/>
    </row>
    <row r="11" spans="1:13" x14ac:dyDescent="0.3">
      <c r="M11" s="1"/>
    </row>
    <row r="12" spans="1:13" x14ac:dyDescent="0.3">
      <c r="M12" s="1"/>
    </row>
    <row r="13" spans="1:13" ht="43.8" thickBot="1" x14ac:dyDescent="0.35">
      <c r="C13" s="1" t="s">
        <v>2</v>
      </c>
      <c r="E13" s="4" t="s">
        <v>18</v>
      </c>
      <c r="F13" s="23" t="s">
        <v>31</v>
      </c>
      <c r="G13" s="4" t="s">
        <v>18</v>
      </c>
      <c r="M13" s="1"/>
    </row>
    <row r="14" spans="1:13" ht="29.4" thickTop="1" x14ac:dyDescent="0.3">
      <c r="A14" s="1" t="s">
        <v>17</v>
      </c>
      <c r="B14" s="1" t="s">
        <v>16</v>
      </c>
      <c r="C14" s="1" t="s">
        <v>1</v>
      </c>
      <c r="D14" s="2" t="s">
        <v>39</v>
      </c>
      <c r="E14" s="7" t="s">
        <v>38</v>
      </c>
      <c r="F14" s="8" t="s">
        <v>40</v>
      </c>
      <c r="G14" s="9" t="s">
        <v>32</v>
      </c>
      <c r="M14" s="1"/>
    </row>
    <row r="15" spans="1:13" x14ac:dyDescent="0.3">
      <c r="A15" s="1">
        <v>6</v>
      </c>
      <c r="B15" s="1">
        <v>5</v>
      </c>
      <c r="C15" s="1" t="s">
        <v>25</v>
      </c>
      <c r="D15" s="5">
        <v>12.7</v>
      </c>
      <c r="E15" s="6">
        <f>Sheet1!F30</f>
        <v>6.4666666666666659</v>
      </c>
      <c r="F15" s="10">
        <v>5</v>
      </c>
      <c r="G15" s="28">
        <v>1.7666666666666666</v>
      </c>
      <c r="M15" s="1"/>
    </row>
    <row r="16" spans="1:13" x14ac:dyDescent="0.3">
      <c r="A16" s="1">
        <v>7</v>
      </c>
      <c r="B16" s="1">
        <v>5</v>
      </c>
      <c r="C16" s="1" t="s">
        <v>26</v>
      </c>
      <c r="D16" s="5">
        <v>12.7</v>
      </c>
      <c r="E16" s="6">
        <f>Sheet1!F34</f>
        <v>9.4333333333333336</v>
      </c>
      <c r="F16" s="10">
        <v>5</v>
      </c>
      <c r="G16" s="28">
        <v>2.8666666666666671</v>
      </c>
    </row>
    <row r="17" spans="1:9" x14ac:dyDescent="0.3">
      <c r="A17" s="1">
        <v>8</v>
      </c>
      <c r="B17" s="1">
        <v>8</v>
      </c>
      <c r="C17" s="1" t="s">
        <v>27</v>
      </c>
      <c r="D17" s="5">
        <v>12.7</v>
      </c>
      <c r="E17" s="6">
        <f>Sheet1!F38</f>
        <v>18.366666666666671</v>
      </c>
      <c r="F17" s="10">
        <v>5</v>
      </c>
      <c r="G17" s="28">
        <v>6.4000000000000012</v>
      </c>
    </row>
    <row r="18" spans="1:9" ht="15" thickBot="1" x14ac:dyDescent="0.35"/>
    <row r="19" spans="1:9" ht="58.2" thickBot="1" x14ac:dyDescent="0.35">
      <c r="C19" s="23" t="s">
        <v>37</v>
      </c>
      <c r="D19" s="31" t="s">
        <v>35</v>
      </c>
      <c r="E19" s="50" t="s">
        <v>36</v>
      </c>
      <c r="F19" s="51"/>
      <c r="G19" s="51"/>
      <c r="H19" s="51"/>
      <c r="I19" s="52"/>
    </row>
    <row r="20" spans="1:9" ht="75" customHeight="1" thickBot="1" x14ac:dyDescent="0.35">
      <c r="A20" s="1" t="s">
        <v>17</v>
      </c>
      <c r="B20" s="1" t="s">
        <v>16</v>
      </c>
      <c r="C20" s="1" t="s">
        <v>3</v>
      </c>
      <c r="D20" s="25" t="s">
        <v>34</v>
      </c>
      <c r="E20" s="32" t="s">
        <v>34</v>
      </c>
      <c r="F20" s="23" t="s">
        <v>31</v>
      </c>
      <c r="G20" s="33" t="s">
        <v>34</v>
      </c>
      <c r="H20" s="23" t="s">
        <v>31</v>
      </c>
      <c r="I20" s="34" t="s">
        <v>34</v>
      </c>
    </row>
    <row r="21" spans="1:9" ht="37.799999999999997" customHeight="1" thickTop="1" x14ac:dyDescent="0.3">
      <c r="B21" s="1"/>
      <c r="C21" s="1"/>
      <c r="D21" s="22" t="s">
        <v>22</v>
      </c>
      <c r="E21" s="35" t="s">
        <v>22</v>
      </c>
      <c r="F21" s="30" t="s">
        <v>39</v>
      </c>
      <c r="G21" s="7" t="s">
        <v>38</v>
      </c>
      <c r="H21" s="8" t="s">
        <v>40</v>
      </c>
      <c r="I21" s="36" t="s">
        <v>32</v>
      </c>
    </row>
    <row r="22" spans="1:9" x14ac:dyDescent="0.3">
      <c r="A22" s="1">
        <v>9</v>
      </c>
      <c r="B22" s="1">
        <v>3.6</v>
      </c>
      <c r="C22" s="1" t="s">
        <v>4</v>
      </c>
      <c r="D22" s="1">
        <v>8.3000000000000007</v>
      </c>
      <c r="E22" s="37">
        <v>8.9</v>
      </c>
      <c r="F22" s="5">
        <v>12.7</v>
      </c>
      <c r="H22" s="10">
        <v>5</v>
      </c>
      <c r="I22" s="38"/>
    </row>
    <row r="23" spans="1:9" x14ac:dyDescent="0.3">
      <c r="A23" s="1">
        <v>10</v>
      </c>
      <c r="B23" s="1">
        <v>5</v>
      </c>
      <c r="C23" s="1" t="s">
        <v>5</v>
      </c>
      <c r="D23" s="1">
        <v>2.2999999999999998</v>
      </c>
      <c r="E23" s="39">
        <v>17.2</v>
      </c>
      <c r="F23" s="5">
        <v>12.7</v>
      </c>
      <c r="H23" s="10">
        <v>5</v>
      </c>
      <c r="I23" s="38"/>
    </row>
    <row r="24" spans="1:9" x14ac:dyDescent="0.3">
      <c r="A24" s="1">
        <v>11</v>
      </c>
      <c r="B24" s="1">
        <v>8</v>
      </c>
      <c r="C24" s="1" t="s">
        <v>6</v>
      </c>
      <c r="D24" s="1">
        <v>2.7</v>
      </c>
      <c r="E24" s="39">
        <v>3</v>
      </c>
      <c r="F24" s="5">
        <v>12.7</v>
      </c>
      <c r="H24" s="10">
        <v>5</v>
      </c>
      <c r="I24" s="38"/>
    </row>
    <row r="25" spans="1:9" x14ac:dyDescent="0.3">
      <c r="A25" s="1">
        <v>12</v>
      </c>
      <c r="B25" s="1">
        <v>3.6</v>
      </c>
      <c r="C25" s="1" t="s">
        <v>7</v>
      </c>
      <c r="D25" s="1">
        <v>1.6</v>
      </c>
      <c r="E25" s="37">
        <v>13.2</v>
      </c>
      <c r="F25" s="5">
        <v>12.7</v>
      </c>
      <c r="H25" s="10">
        <v>5</v>
      </c>
      <c r="I25" s="38"/>
    </row>
    <row r="26" spans="1:9" x14ac:dyDescent="0.3">
      <c r="A26" s="1">
        <v>13</v>
      </c>
      <c r="B26" s="1">
        <v>3.6</v>
      </c>
      <c r="C26" s="1" t="s">
        <v>30</v>
      </c>
      <c r="D26" s="1">
        <v>9.4</v>
      </c>
      <c r="E26" s="37">
        <v>9.5</v>
      </c>
      <c r="F26" s="5">
        <v>12.7</v>
      </c>
      <c r="H26" s="10">
        <v>5</v>
      </c>
      <c r="I26" s="38"/>
    </row>
    <row r="27" spans="1:9" x14ac:dyDescent="0.3">
      <c r="A27" s="1">
        <v>14</v>
      </c>
      <c r="B27" s="1">
        <v>5</v>
      </c>
      <c r="C27" s="1" t="s">
        <v>8</v>
      </c>
      <c r="D27" s="1">
        <v>10.5</v>
      </c>
      <c r="E27" s="40">
        <v>13.9</v>
      </c>
      <c r="F27" s="5">
        <v>12.7</v>
      </c>
      <c r="H27" s="10">
        <v>5</v>
      </c>
      <c r="I27" s="38"/>
    </row>
    <row r="28" spans="1:9" x14ac:dyDescent="0.3">
      <c r="A28" s="1">
        <v>15</v>
      </c>
      <c r="B28" s="1">
        <v>5</v>
      </c>
      <c r="C28" s="1" t="s">
        <v>9</v>
      </c>
      <c r="D28" s="1">
        <v>19.399999999999999</v>
      </c>
      <c r="E28" s="40">
        <v>12.1</v>
      </c>
      <c r="F28" s="5">
        <v>12.7</v>
      </c>
      <c r="H28" s="10">
        <v>5</v>
      </c>
      <c r="I28" s="38"/>
    </row>
    <row r="29" spans="1:9" x14ac:dyDescent="0.3">
      <c r="A29" s="1">
        <v>16</v>
      </c>
      <c r="B29" s="1">
        <v>8</v>
      </c>
      <c r="C29" s="1" t="s">
        <v>10</v>
      </c>
      <c r="D29" s="1">
        <v>2</v>
      </c>
      <c r="E29" s="37">
        <v>1.5</v>
      </c>
      <c r="F29" s="5">
        <v>12.7</v>
      </c>
      <c r="H29" s="10">
        <v>5</v>
      </c>
      <c r="I29" s="38"/>
    </row>
    <row r="30" spans="1:9" x14ac:dyDescent="0.3">
      <c r="A30" s="1">
        <v>17</v>
      </c>
      <c r="B30" s="1">
        <v>8</v>
      </c>
      <c r="C30" s="1" t="s">
        <v>11</v>
      </c>
      <c r="D30" s="1">
        <v>2.2000000000000002</v>
      </c>
      <c r="E30" s="37">
        <v>2.2999999999999998</v>
      </c>
      <c r="F30" s="5">
        <v>12.7</v>
      </c>
      <c r="H30" s="10">
        <v>5</v>
      </c>
      <c r="I30" s="38"/>
    </row>
    <row r="31" spans="1:9" x14ac:dyDescent="0.3">
      <c r="A31" s="1">
        <v>18</v>
      </c>
      <c r="B31" s="1">
        <v>3.6</v>
      </c>
      <c r="C31" s="1" t="s">
        <v>12</v>
      </c>
      <c r="D31" s="1">
        <v>2.4</v>
      </c>
      <c r="E31" s="37">
        <v>1.6</v>
      </c>
      <c r="F31" s="5">
        <v>12.7</v>
      </c>
      <c r="H31" s="10">
        <v>5</v>
      </c>
      <c r="I31" s="38"/>
    </row>
    <row r="32" spans="1:9" x14ac:dyDescent="0.3">
      <c r="A32" s="1">
        <v>19</v>
      </c>
      <c r="B32" s="1">
        <v>3.6</v>
      </c>
      <c r="C32" s="1" t="s">
        <v>13</v>
      </c>
      <c r="D32" s="1">
        <v>14.1</v>
      </c>
      <c r="E32" s="37">
        <v>9.8000000000000007</v>
      </c>
      <c r="F32" s="5">
        <v>12.7</v>
      </c>
      <c r="H32" s="10">
        <v>5</v>
      </c>
      <c r="I32" s="38"/>
    </row>
    <row r="33" spans="1:9" x14ac:dyDescent="0.3">
      <c r="A33" s="1">
        <v>20</v>
      </c>
      <c r="B33" s="1">
        <v>5</v>
      </c>
      <c r="C33" s="1" t="s">
        <v>14</v>
      </c>
      <c r="D33" s="1">
        <v>9</v>
      </c>
      <c r="E33" s="39">
        <v>4.3</v>
      </c>
      <c r="F33" s="5">
        <v>12.7</v>
      </c>
      <c r="H33" s="10">
        <v>5</v>
      </c>
      <c r="I33" s="38"/>
    </row>
    <row r="34" spans="1:9" ht="15" thickBot="1" x14ac:dyDescent="0.35">
      <c r="A34" s="1">
        <v>21</v>
      </c>
      <c r="B34" s="1">
        <v>5</v>
      </c>
      <c r="C34" s="1" t="s">
        <v>15</v>
      </c>
      <c r="D34" s="1">
        <v>14.3</v>
      </c>
      <c r="E34" s="41">
        <v>7.9</v>
      </c>
      <c r="F34" s="42">
        <v>12.7</v>
      </c>
      <c r="G34" s="43"/>
      <c r="H34" s="44">
        <v>5</v>
      </c>
      <c r="I34" s="45"/>
    </row>
    <row r="35" spans="1:9" x14ac:dyDescent="0.3">
      <c r="E35" s="1"/>
    </row>
  </sheetData>
  <mergeCells count="1">
    <mergeCell ref="E19:I19"/>
  </mergeCells>
  <conditionalFormatting sqref="E6:E10">
    <cfRule type="cellIs" dxfId="4" priority="4" operator="greaterThan">
      <formula>12.7</formula>
    </cfRule>
  </conditionalFormatting>
  <conditionalFormatting sqref="E15:E17">
    <cfRule type="cellIs" dxfId="3" priority="2" operator="greaterThan">
      <formula>12.7</formula>
    </cfRule>
  </conditionalFormatting>
  <conditionalFormatting sqref="G6:G10">
    <cfRule type="cellIs" dxfId="2" priority="3" operator="greaterThan">
      <formula>5</formula>
    </cfRule>
  </conditionalFormatting>
  <conditionalFormatting sqref="G15:G17">
    <cfRule type="cellIs" dxfId="1" priority="1" operator="greaterThan">
      <formula>5</formula>
    </cfRule>
  </conditionalFormatting>
  <conditionalFormatting sqref="I6:I10">
    <cfRule type="cellIs" dxfId="0" priority="5" operator="greaterThan">
      <formula>2.5</formula>
    </cfRule>
  </conditionalFormatting>
  <pageMargins left="0.7" right="0.7" top="0.75" bottom="0.75" header="0.3" footer="0.3"/>
  <headerFooter>
    <oddHeader>&amp;L&amp;"Aptos"&amp;10&amp;K000000 General Business&amp;1#_x000D_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CCH</vt:lpstr>
      <vt:lpstr>CCH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 Jesus (CNH)</dc:creator>
  <cp:lastModifiedBy>PENA Jesus (CNH)</cp:lastModifiedBy>
  <dcterms:created xsi:type="dcterms:W3CDTF">2015-06-05T18:17:20Z</dcterms:created>
  <dcterms:modified xsi:type="dcterms:W3CDTF">2026-07-09T22:27:07Z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2026-06-23T13:42:43Z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818207f3-f3c4-442b-b5e5-efab7cd0d20c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